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85d9878566ceed3/Desktop/temple/academia/undergrad/senior design II/papers/parts/"/>
    </mc:Choice>
  </mc:AlternateContent>
  <xr:revisionPtr revIDLastSave="0" documentId="14_{23073846-8073-4E62-9AD2-3633B04CE60D}" xr6:coauthVersionLast="47" xr6:coauthVersionMax="47" xr10:uidLastSave="{00000000-0000-0000-0000-000000000000}"/>
  <bookViews>
    <workbookView xWindow="1800" yWindow="1710" windowWidth="18000" windowHeight="11170" xr2:uid="{4C2ECF38-62A3-49FE-9159-1B014F5885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9" i="1" s="1"/>
  <c r="G17" i="1"/>
  <c r="G7" i="1"/>
  <c r="G13" i="1"/>
  <c r="G11" i="1"/>
  <c r="G9" i="1"/>
  <c r="G5" i="1"/>
  <c r="G3" i="1"/>
  <c r="G23" i="1" l="1"/>
</calcChain>
</file>

<file path=xl/sharedStrings.xml><?xml version="1.0" encoding="utf-8"?>
<sst xmlns="http://schemas.openxmlformats.org/spreadsheetml/2006/main" count="51" uniqueCount="42">
  <si>
    <t>Item Requested</t>
  </si>
  <si>
    <t>Supplier</t>
  </si>
  <si>
    <t>Item Part #</t>
  </si>
  <si>
    <t>URL</t>
  </si>
  <si>
    <t>Quantity</t>
  </si>
  <si>
    <t>Item Price</t>
  </si>
  <si>
    <t>Total</t>
  </si>
  <si>
    <t>McMaster-Carr</t>
  </si>
  <si>
    <t>Amazon</t>
  </si>
  <si>
    <t>N/A</t>
  </si>
  <si>
    <t>2-3 days</t>
  </si>
  <si>
    <t>Shipping Estimate</t>
  </si>
  <si>
    <t xml:space="preserve">Acrylic Sheet (0.5 in) </t>
  </si>
  <si>
    <t>Ball Bearing</t>
  </si>
  <si>
    <t>1 day</t>
  </si>
  <si>
    <t>https://www.mcmaster.com/4668K6/</t>
  </si>
  <si>
    <t>4668K6</t>
  </si>
  <si>
    <t>0.5 in acrylic sheet</t>
  </si>
  <si>
    <t>4 days</t>
  </si>
  <si>
    <t>Grainger</t>
  </si>
  <si>
    <t>https://www.mcmaster.com/1865k3/</t>
  </si>
  <si>
    <t>1865K3</t>
  </si>
  <si>
    <t>Aluminum Easy-Access Base-Mounted Shaft Support (1/2')</t>
  </si>
  <si>
    <t>2 day prime</t>
  </si>
  <si>
    <t>PRICE TOTAL</t>
  </si>
  <si>
    <t>MAX TOTAL</t>
  </si>
  <si>
    <t>LEFT</t>
  </si>
  <si>
    <t>2 days</t>
  </si>
  <si>
    <t>Motor (NEMA 17) to Shaft Coupler</t>
  </si>
  <si>
    <t>Motor (NEMA 23) to Shaft Coupler</t>
  </si>
  <si>
    <t>5mm to 12.7mm Plum Flexible Shaft Coupling, Diameter 30mm Length 35mm Aluminium Motor Connector Flexible Spider Coupler for 3D Printer CNC Machine Servo Stepped Motor: Amazon.com: Industrial &amp; Scientific</t>
  </si>
  <si>
    <t>6.35mm to 12.7mm Plum Flexible Shaft Coupling, Diameter 30mm Length 35mm Aluminium Motor Connector Flexible Spider Coupler for 3D Printer CNC Machine Servo Stepped Motor: Amazon.com: Industrial &amp; Scientific</t>
  </si>
  <si>
    <t>Mounted Ball Bearing</t>
  </si>
  <si>
    <t>https://www.mcmaster.com/2820T36/</t>
  </si>
  <si>
    <t>2820T36</t>
  </si>
  <si>
    <t>https://www.mcmaster.com/51525k223/</t>
  </si>
  <si>
    <t>Luer Lock</t>
  </si>
  <si>
    <t>51525K223</t>
  </si>
  <si>
    <t>US America</t>
  </si>
  <si>
    <t>Mini WIFI Camera 1080P HD with Night Vision Included</t>
  </si>
  <si>
    <t>4-5 business days</t>
  </si>
  <si>
    <t>Camera+ 64 GB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</si>
</sst>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333333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C78E320-72B0-4D6B-A5ED-5FFC046CEF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4668K6/" TargetMode="External"/><Relationship Id="rId7" Type="http://schemas.openxmlformats.org/officeDocument/2006/relationships/hyperlink" Target="https://usamerica.shop/product/mini-wifi-camera-1080p-hd-with-night-vision-included/?utm_source=Google+Shopping&amp;utm_medium=cpc&amp;utm_campaign=CTX+Shopping+Google+Feed+Only+parent&amp;msclkid=8b9a6c38436a16700fc304ef0e927eb5&amp;v=0b3b97fa6688" TargetMode="External"/><Relationship Id="rId2" Type="http://schemas.openxmlformats.org/officeDocument/2006/relationships/hyperlink" Target="https://www.mcmaster.com/1865k3/" TargetMode="External"/><Relationship Id="rId1" Type="http://schemas.openxmlformats.org/officeDocument/2006/relationships/hyperlink" Target="https://www.grainger.com/product/1ZAJ4?gucid=N:N:PS:Paid:GGL:CSM-2295:Y8ZQJW:20500801:APZ_1&amp;gclsrc=aw.ds&amp;gad_source=1&amp;gad_campaignid=21375667808&amp;gclid=CjwKCAjwup3HBhAAEiwA7euZupVfnF56tTD30sDZdcb_W33_h4_6c3uuxgRc4A1tUP-Dz9LUERSRxBoCqW8QAvD_BwE" TargetMode="External"/><Relationship Id="rId6" Type="http://schemas.openxmlformats.org/officeDocument/2006/relationships/hyperlink" Target="https://www.mcmaster.com/2820T36/" TargetMode="External"/><Relationship Id="rId5" Type="http://schemas.openxmlformats.org/officeDocument/2006/relationships/hyperlink" Target="https://www.amazon.com/Flexible-Coupling-Diameter-Aluminium-Connector/dp/B0DLGQPJY4/ref=sr_1_1?crid=P812H5FOGS0Q&amp;dib=eyJ2IjoiMSJ9.f8ZyhAmq3WVIsEtCeaGXrSE8pRcajtozuIxd5Hiah0ccag0b6cl26uZ-3Ao_YR4VesqgQxhwiyOQQWiKuInrJm3520XT6S6KPj3AR8anhAM1_A-v4_-X8XY-NjCGi3LqES08HXh5pblAcO7hVpA0DyRdmqD0fAuD6WkYu4yqy1F9MEvpOTxy65Em3DFpty6wQsgW_WXD6AtKczZykZ6hSg_9BnnC3WNSpTkVN2neBLrgn-xIe2bXmzPPSFaZWPKZyWbMjgOyhpbChA3H1lyzqlLYLohBuaWsFAKYNIFVmKs.XMoklJa7onHVMNw5FdlqgvgMii1Q_lDMv-I8YmoqAZc&amp;dib_tag=se&amp;keywords=6.3246mm%2Bto%2B12.7mm%2Bshaft%2Bcoupler&amp;qid=1760143039&amp;s=industrial&amp;sprefix=6.3246mm%2Bto%2B12.7mm%2Bshaft%2Bcoupler%2Cindustrial%2C59&amp;sr=1-1&amp;th=1" TargetMode="External"/><Relationship Id="rId4" Type="http://schemas.openxmlformats.org/officeDocument/2006/relationships/hyperlink" Target="https://www.amazon.com/Flexible-Coupling-Diameter-Aluminium-Connector/dp/B0DLGSB45C/ref=sr_1_1?crid=VAEPQ7NAYKUF&amp;dib=eyJ2IjoiMSJ9.FerffVQk7pp9Cr6tBVoXmVHeKwAa6hwMa6Ti7EVXykURr2Wg_pZl4OKhLvYOt3KYiReEyXaWHT3DVvZ9ldSp-TmjlTBKfAojmP82SqBGsQO7cAzalE62vwM5VnfC4TO1Edmz2LTfD0rQ9-Ur-Wml8MIjJYamrqms8S1PGNdOsaI0X6uwrbbjcq0qSHmqD5YIyXhlKpntBJXAzG6vmhI2PGHaznBmPsTF2XzdsATBGttswioW79BB649YX8IfS1IGPU8xoEdJfBsHK0OEUHmrdjfTFWzTJemIkHwIN-Xzhqg.htDX2odIYKJcSsUVEyN4uuhprIBaouVYT87AbnF0rE4&amp;dib_tag=se&amp;keywords=5mm%2Bto%2B12.7%2Bmm%2Bshaft%2Bcoupler&amp;qid=1760132283&amp;s=industrial&amp;sprefix=%2Cindustrial%2C93&amp;sr=1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CC3D-8F00-44C9-AD17-C835FA82A2EA}">
  <dimension ref="A1:I27"/>
  <sheetViews>
    <sheetView tabSelected="1" topLeftCell="A2" zoomScale="71" zoomScaleNormal="120" workbookViewId="0">
      <selection activeCell="F16" sqref="F16"/>
    </sheetView>
  </sheetViews>
  <sheetFormatPr defaultColWidth="8.6328125" defaultRowHeight="14" x14ac:dyDescent="0.35"/>
  <cols>
    <col min="1" max="1" width="18.6328125" style="1" customWidth="1"/>
    <col min="2" max="2" width="29.1796875" style="1" customWidth="1"/>
    <col min="3" max="3" width="16.1796875" style="1" customWidth="1"/>
    <col min="4" max="4" width="50.81640625" style="3" customWidth="1"/>
    <col min="5" max="5" width="11.453125" style="1" customWidth="1"/>
    <col min="6" max="7" width="8.6328125" style="1"/>
    <col min="8" max="8" width="7.36328125" style="1" customWidth="1"/>
    <col min="9" max="9" width="23.6328125" style="1" customWidth="1"/>
    <col min="10" max="10" width="8.6328125" style="1" customWidth="1"/>
    <col min="11" max="16384" width="8.6328125" style="1"/>
  </cols>
  <sheetData>
    <row r="1" spans="1:9" ht="28" x14ac:dyDescent="0.35">
      <c r="A1" s="2" t="s">
        <v>1</v>
      </c>
      <c r="B1" s="2" t="s">
        <v>0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I1" s="2" t="s">
        <v>11</v>
      </c>
    </row>
    <row r="2" spans="1:9" ht="25.5" customHeight="1" x14ac:dyDescent="0.35"/>
    <row r="3" spans="1:9" x14ac:dyDescent="0.35">
      <c r="A3" s="1" t="s">
        <v>19</v>
      </c>
      <c r="B3" s="1" t="s">
        <v>12</v>
      </c>
      <c r="C3" s="1" t="s">
        <v>9</v>
      </c>
      <c r="D3" s="5" t="s">
        <v>17</v>
      </c>
      <c r="E3" s="1">
        <v>1</v>
      </c>
      <c r="F3" s="1">
        <v>29.62</v>
      </c>
      <c r="G3" s="1">
        <f>F3*E3</f>
        <v>29.62</v>
      </c>
      <c r="I3" s="1" t="s">
        <v>18</v>
      </c>
    </row>
    <row r="4" spans="1:9" x14ac:dyDescent="0.35">
      <c r="D4" s="1"/>
    </row>
    <row r="5" spans="1:9" ht="28" x14ac:dyDescent="0.35">
      <c r="A5" s="1" t="s">
        <v>7</v>
      </c>
      <c r="B5" s="1" t="s">
        <v>22</v>
      </c>
      <c r="C5" s="1" t="s">
        <v>21</v>
      </c>
      <c r="D5" s="5" t="s">
        <v>20</v>
      </c>
      <c r="E5" s="1">
        <v>2</v>
      </c>
      <c r="F5" s="1">
        <v>28.2</v>
      </c>
      <c r="G5" s="1">
        <f>F5*E5</f>
        <v>56.4</v>
      </c>
      <c r="I5" s="1" t="s">
        <v>10</v>
      </c>
    </row>
    <row r="6" spans="1:9" x14ac:dyDescent="0.35">
      <c r="D6" s="5"/>
      <c r="F6" s="7"/>
    </row>
    <row r="7" spans="1:9" x14ac:dyDescent="0.35">
      <c r="A7" s="1" t="s">
        <v>7</v>
      </c>
      <c r="B7" s="1" t="s">
        <v>32</v>
      </c>
      <c r="C7" s="1" t="s">
        <v>34</v>
      </c>
      <c r="D7" s="6" t="s">
        <v>33</v>
      </c>
      <c r="E7" s="1">
        <v>1</v>
      </c>
      <c r="F7" s="7">
        <v>25.14</v>
      </c>
      <c r="G7" s="1">
        <f>F7*E7</f>
        <v>25.14</v>
      </c>
      <c r="I7" s="1" t="s">
        <v>27</v>
      </c>
    </row>
    <row r="8" spans="1:9" x14ac:dyDescent="0.35">
      <c r="D8" s="5"/>
      <c r="F8" s="7"/>
    </row>
    <row r="9" spans="1:9" x14ac:dyDescent="0.35">
      <c r="A9" s="1" t="s">
        <v>7</v>
      </c>
      <c r="B9" s="1" t="s">
        <v>13</v>
      </c>
      <c r="C9" s="1" t="s">
        <v>16</v>
      </c>
      <c r="D9" s="6" t="s">
        <v>15</v>
      </c>
      <c r="E9" s="1">
        <v>1</v>
      </c>
      <c r="F9" s="1">
        <v>30.3</v>
      </c>
      <c r="G9" s="1">
        <f>F9*E9</f>
        <v>30.3</v>
      </c>
      <c r="I9" s="1" t="s">
        <v>14</v>
      </c>
    </row>
    <row r="10" spans="1:9" x14ac:dyDescent="0.35">
      <c r="D10" s="6"/>
    </row>
    <row r="11" spans="1:9" ht="70" x14ac:dyDescent="0.35">
      <c r="A11" s="1" t="s">
        <v>8</v>
      </c>
      <c r="B11" s="1" t="s">
        <v>29</v>
      </c>
      <c r="C11" s="1" t="s">
        <v>9</v>
      </c>
      <c r="D11" s="5" t="s">
        <v>31</v>
      </c>
      <c r="E11" s="1">
        <v>1</v>
      </c>
      <c r="F11" s="1">
        <v>9.19</v>
      </c>
      <c r="G11" s="1">
        <f>F11*E11</f>
        <v>9.19</v>
      </c>
      <c r="I11" s="1" t="s">
        <v>23</v>
      </c>
    </row>
    <row r="12" spans="1:9" x14ac:dyDescent="0.35">
      <c r="D12" s="5"/>
    </row>
    <row r="13" spans="1:9" ht="70" x14ac:dyDescent="0.35">
      <c r="A13" s="1" t="s">
        <v>8</v>
      </c>
      <c r="B13" s="1" t="s">
        <v>28</v>
      </c>
      <c r="C13" s="1" t="s">
        <v>9</v>
      </c>
      <c r="D13" s="5" t="s">
        <v>30</v>
      </c>
      <c r="E13" s="1">
        <v>1</v>
      </c>
      <c r="F13" s="1">
        <v>10.39</v>
      </c>
      <c r="G13" s="1">
        <f>F13*E13</f>
        <v>10.39</v>
      </c>
      <c r="I13" s="1" t="s">
        <v>23</v>
      </c>
    </row>
    <row r="14" spans="1:9" x14ac:dyDescent="0.35">
      <c r="D14" s="1"/>
    </row>
    <row r="15" spans="1:9" ht="14.5" x14ac:dyDescent="0.35">
      <c r="A15" s="1" t="s">
        <v>7</v>
      </c>
      <c r="B15" s="1" t="s">
        <v>36</v>
      </c>
      <c r="C15" s="1" t="s">
        <v>37</v>
      </c>
      <c r="D15" s="8" t="s">
        <v>35</v>
      </c>
      <c r="E15" s="1">
        <v>1</v>
      </c>
      <c r="F15" s="1">
        <v>9.26</v>
      </c>
      <c r="G15" s="1">
        <f>F15*E15</f>
        <v>9.26</v>
      </c>
      <c r="I15" s="1" t="s">
        <v>14</v>
      </c>
    </row>
    <row r="16" spans="1:9" x14ac:dyDescent="0.35">
      <c r="D16" s="1"/>
    </row>
    <row r="17" spans="1:9" x14ac:dyDescent="0.35">
      <c r="A17" s="1" t="s">
        <v>38</v>
      </c>
      <c r="B17" s="1" t="s">
        <v>41</v>
      </c>
      <c r="C17" s="1" t="s">
        <v>9</v>
      </c>
      <c r="D17" s="5" t="s">
        <v>39</v>
      </c>
      <c r="E17" s="1">
        <v>1</v>
      </c>
      <c r="F17" s="1">
        <v>39.9</v>
      </c>
      <c r="G17" s="1">
        <f>F17*E17</f>
        <v>39.9</v>
      </c>
      <c r="I17" s="1" t="s">
        <v>40</v>
      </c>
    </row>
    <row r="18" spans="1:9" x14ac:dyDescent="0.35">
      <c r="D18" s="1"/>
    </row>
    <row r="19" spans="1:9" ht="28" x14ac:dyDescent="0.35">
      <c r="D19" s="1"/>
      <c r="F19" s="1" t="s">
        <v>24</v>
      </c>
      <c r="G19" s="1">
        <f>SUM(G3:G17)</f>
        <v>210.20000000000002</v>
      </c>
    </row>
    <row r="20" spans="1:9" x14ac:dyDescent="0.35">
      <c r="D20" s="1"/>
    </row>
    <row r="21" spans="1:9" ht="28" x14ac:dyDescent="0.35">
      <c r="D21" s="1"/>
      <c r="F21" s="1" t="s">
        <v>25</v>
      </c>
      <c r="G21" s="1">
        <v>1000</v>
      </c>
    </row>
    <row r="22" spans="1:9" x14ac:dyDescent="0.35">
      <c r="D22" s="1"/>
    </row>
    <row r="23" spans="1:9" x14ac:dyDescent="0.35">
      <c r="D23" s="1"/>
      <c r="F23" s="1" t="s">
        <v>26</v>
      </c>
      <c r="G23" s="1">
        <f>G21-G19</f>
        <v>789.8</v>
      </c>
    </row>
    <row r="27" spans="1:9" x14ac:dyDescent="0.35">
      <c r="B27" s="9"/>
    </row>
  </sheetData>
  <hyperlinks>
    <hyperlink ref="D3" r:id="rId1" location="gad_source_1" xr:uid="{E781C468-CF65-4F55-B752-B3C311ECCE4A}"/>
    <hyperlink ref="D5" r:id="rId2" xr:uid="{22919A08-C195-487C-A7D4-A026525D2A6F}"/>
    <hyperlink ref="D9" r:id="rId3" xr:uid="{3E1314D3-204D-4DD2-9DC0-CC86C1000A62}"/>
    <hyperlink ref="D13" r:id="rId4" display="https://www.amazon.com/Flexible-Coupling-Diameter-Aluminium-Connector/dp/B0DLGSB45C/ref=sr_1_1?crid=VAEPQ7NAYKUF&amp;dib=eyJ2IjoiMSJ9.FerffVQk7pp9Cr6tBVoXmVHeKwAa6hwMa6Ti7EVXykURr2Wg_pZl4OKhLvYOt3KYiReEyXaWHT3DVvZ9ldSp-TmjlTBKfAojmP82SqBGsQO7cAzalE62vwM5VnfC4TO1Edmz2LTfD0rQ9-Ur-Wml8MIjJYamrqms8S1PGNdOsaI0X6uwrbbjcq0qSHmqD5YIyXhlKpntBJXAzG6vmhI2PGHaznBmPsTF2XzdsATBGttswioW79BB649YX8IfS1IGPU8xoEdJfBsHK0OEUHmrdjfTFWzTJemIkHwIN-Xzhqg.htDX2odIYKJcSsUVEyN4uuhprIBaouVYT87AbnF0rE4&amp;dib_tag=se&amp;keywords=5mm%2Bto%2B12.7%2Bmm%2Bshaft%2Bcoupler&amp;qid=1760132283&amp;s=industrial&amp;sprefix=%2Cindustrial%2C93&amp;sr=1-1&amp;th=1" xr:uid="{D235C728-5A74-48B6-93DC-446916867CC8}"/>
    <hyperlink ref="D11" r:id="rId5" display="https://www.amazon.com/Flexible-Coupling-Diameter-Aluminium-Connector/dp/B0DLGQPJY4/ref=sr_1_1?crid=P812H5FOGS0Q&amp;dib=eyJ2IjoiMSJ9.f8ZyhAmq3WVIsEtCeaGXrSE8pRcajtozuIxd5Hiah0ccag0b6cl26uZ-3Ao_YR4VesqgQxhwiyOQQWiKuInrJm3520XT6S6KPj3AR8anhAM1_A-v4_-X8XY-NjCGi3LqES08HXh5pblAcO7hVpA0DyRdmqD0fAuD6WkYu4yqy1F9MEvpOTxy65Em3DFpty6wQsgW_WXD6AtKczZykZ6hSg_9BnnC3WNSpTkVN2neBLrgn-xIe2bXmzPPSFaZWPKZyWbMjgOyhpbChA3H1lyzqlLYLohBuaWsFAKYNIFVmKs.XMoklJa7onHVMNw5FdlqgvgMii1Q_lDMv-I8YmoqAZc&amp;dib_tag=se&amp;keywords=6.3246mm%2Bto%2B12.7mm%2Bshaft%2Bcoupler&amp;qid=1760143039&amp;s=industrial&amp;sprefix=6.3246mm%2Bto%2B12.7mm%2Bshaft%2Bcoupler%2Cindustrial%2C59&amp;sr=1-1&amp;th=1" xr:uid="{9D0003BB-8F17-4874-8624-A3E3EB148B36}"/>
    <hyperlink ref="D7" r:id="rId6" xr:uid="{42081260-1C4B-4FDE-8715-460A3C703B18}"/>
    <hyperlink ref="D17" r:id="rId7" xr:uid="{9B1A9B5C-AE24-4C5F-A928-62AA0A464DC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985BA921E19F479CD09AB1EE36D168" ma:contentTypeVersion="18" ma:contentTypeDescription="Create a new document." ma:contentTypeScope="" ma:versionID="0f497d3568979f943767bb395498bbae">
  <xsd:schema xmlns:xsd="http://www.w3.org/2001/XMLSchema" xmlns:xs="http://www.w3.org/2001/XMLSchema" xmlns:p="http://schemas.microsoft.com/office/2006/metadata/properties" xmlns:ns3="6c0801e9-2605-4d05-b24f-a259f943f91c" xmlns:ns4="de9f92fc-55fa-4a03-bf72-1946db2e5390" targetNamespace="http://schemas.microsoft.com/office/2006/metadata/properties" ma:root="true" ma:fieldsID="49a4bab2d3711b48bd8914b6af107445" ns3:_="" ns4:_="">
    <xsd:import namespace="6c0801e9-2605-4d05-b24f-a259f943f91c"/>
    <xsd:import namespace="de9f92fc-55fa-4a03-bf72-1946db2e53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801e9-2605-4d05-b24f-a259f943f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92fc-55fa-4a03-bf72-1946db2e53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0801e9-2605-4d05-b24f-a259f943f91c" xsi:nil="true"/>
  </documentManagement>
</p:properties>
</file>

<file path=customXml/itemProps1.xml><?xml version="1.0" encoding="utf-8"?>
<ds:datastoreItem xmlns:ds="http://schemas.openxmlformats.org/officeDocument/2006/customXml" ds:itemID="{F1B59156-85CE-4FCF-82B0-180DB2532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8D2903-EB54-42A4-894B-1383CE4F27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c0801e9-2605-4d05-b24f-a259f943f91c"/>
    <ds:schemaRef ds:uri="de9f92fc-55fa-4a03-bf72-1946db2e539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99ED97-A527-451F-AAE5-FE9D6F9C51AB}">
  <ds:schemaRefs>
    <ds:schemaRef ds:uri="6c0801e9-2605-4d05-b24f-a259f943f91c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e9f92fc-55fa-4a03-bf72-1946db2e539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Zenub Maghawry Abouzid</dc:creator>
  <cp:keywords/>
  <dc:description/>
  <cp:lastModifiedBy>Zenub Abouzid</cp:lastModifiedBy>
  <cp:revision/>
  <dcterms:created xsi:type="dcterms:W3CDTF">2025-09-27T02:39:25Z</dcterms:created>
  <dcterms:modified xsi:type="dcterms:W3CDTF">2025-10-16T17:43:34Z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0x0101005B985BA921E19F479CD09AB1EE36D168</vt:lpwstr>
  </property>
</Properties>
</file>