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e85d9878566ceed3/Desktop/temple/academia/undergrad/senior design II/papers/parts/"/>
    </mc:Choice>
  </mc:AlternateContent>
  <xr:revisionPtr revIDLastSave="0" documentId="8_{E0E7BA10-3E8A-44CA-82E3-C8412E785F92}" xr6:coauthVersionLast="47" xr6:coauthVersionMax="47" xr10:uidLastSave="{00000000-0000-0000-0000-000000000000}"/>
  <bookViews>
    <workbookView xWindow="11910" yWindow="0" windowWidth="12180" windowHeight="15370" xr2:uid="{4C2ECF38-62A3-49FE-9159-1B014F58850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4" i="1" l="1"/>
  <c r="V56" i="1"/>
  <c r="V58" i="1"/>
  <c r="V60" i="1"/>
  <c r="V68" i="1"/>
  <c r="V66" i="1"/>
  <c r="V64" i="1"/>
  <c r="V54" i="1"/>
  <c r="V52" i="1"/>
  <c r="V50" i="1"/>
  <c r="V48" i="1"/>
  <c r="V46" i="1"/>
  <c r="V42" i="1"/>
  <c r="V40" i="1"/>
  <c r="V38" i="1"/>
  <c r="V36" i="1"/>
  <c r="V34" i="1"/>
  <c r="V32" i="1"/>
  <c r="V30" i="1"/>
  <c r="V28" i="1"/>
  <c r="V26" i="1"/>
  <c r="V22" i="1"/>
  <c r="V20" i="1"/>
  <c r="V18" i="1"/>
  <c r="V16" i="1"/>
  <c r="V14" i="1"/>
  <c r="V12" i="1"/>
  <c r="V10" i="1"/>
  <c r="V8" i="1"/>
  <c r="V6" i="1"/>
  <c r="V74" i="1" l="1"/>
  <c r="V78" i="1" s="1"/>
</calcChain>
</file>

<file path=xl/sharedStrings.xml><?xml version="1.0" encoding="utf-8"?>
<sst xmlns="http://schemas.openxmlformats.org/spreadsheetml/2006/main" count="231" uniqueCount="115">
  <si>
    <t>Item Requested</t>
  </si>
  <si>
    <t>Supplier</t>
  </si>
  <si>
    <t>Item Part #</t>
  </si>
  <si>
    <t>URL</t>
  </si>
  <si>
    <t>Quantity</t>
  </si>
  <si>
    <t>Item Price</t>
  </si>
  <si>
    <t>Total</t>
  </si>
  <si>
    <t>US America</t>
  </si>
  <si>
    <t>Mini WIFI Camera 1080P HD with Night Vision Included</t>
  </si>
  <si>
    <t>McMaster-Carr</t>
  </si>
  <si>
    <t>Amazon</t>
  </si>
  <si>
    <t>M-WTC-9J7J</t>
  </si>
  <si>
    <t>N/A</t>
  </si>
  <si>
    <t>Home depot</t>
  </si>
  <si>
    <t>Biocampatible resin</t>
  </si>
  <si>
    <t>MatterHackers</t>
  </si>
  <si>
    <t>Liqcreate Resin for LCD &amp; DLP 3D Printers</t>
  </si>
  <si>
    <t>4-5 business days</t>
  </si>
  <si>
    <t>2-3 days</t>
  </si>
  <si>
    <t>2-3 days prime</t>
  </si>
  <si>
    <t>Holding the order (have to ensure the bioreactor first)</t>
  </si>
  <si>
    <t>As soon as possible</t>
  </si>
  <si>
    <t>Teaching Lab</t>
  </si>
  <si>
    <t>Already present</t>
  </si>
  <si>
    <t>Coming Sunday</t>
  </si>
  <si>
    <t>Part Needed For?</t>
  </si>
  <si>
    <t>Visualization</t>
  </si>
  <si>
    <t>Prototype Base</t>
  </si>
  <si>
    <t>Validation</t>
  </si>
  <si>
    <t>Bioreactor</t>
  </si>
  <si>
    <t>Shipping Estimate</t>
  </si>
  <si>
    <t>In two weeks maximum</t>
  </si>
  <si>
    <t>Temple University</t>
  </si>
  <si>
    <t>Already Present</t>
  </si>
  <si>
    <t>As soon as possible (might need more in case anything goes wrong)</t>
  </si>
  <si>
    <t xml:space="preserve">Acrylic Sheet (0.25 in) </t>
  </si>
  <si>
    <t xml:space="preserve">Acrylic Sheet (0.5 in) </t>
  </si>
  <si>
    <t>Plastic for 3D Printing</t>
  </si>
  <si>
    <t>L-bracket (Motor Support)</t>
  </si>
  <si>
    <t>Ball Bearing</t>
  </si>
  <si>
    <t>Tachometer</t>
  </si>
  <si>
    <t>Alginate Beads Supplies</t>
  </si>
  <si>
    <t>Cell Culture Supplies</t>
  </si>
  <si>
    <t>Aluminum Rod</t>
  </si>
  <si>
    <t>1 day</t>
  </si>
  <si>
    <t>https://www.mcmaster.com/4668K6/</t>
  </si>
  <si>
    <t>4668K6</t>
  </si>
  <si>
    <t>Stepper Driver</t>
  </si>
  <si>
    <t xml:space="preserve">Color Code </t>
  </si>
  <si>
    <t>Holding the order (already bought but might need more)</t>
  </si>
  <si>
    <t>Key</t>
  </si>
  <si>
    <t>Please Buy (thank you)</t>
  </si>
  <si>
    <t>Already in Temple</t>
  </si>
  <si>
    <t>Hold Purchasing (until further notice)</t>
  </si>
  <si>
    <t>0.5 in acrylic sheet</t>
  </si>
  <si>
    <t>4 days</t>
  </si>
  <si>
    <t>Grainger</t>
  </si>
  <si>
    <t>M5x20 with M5 hex head nuts</t>
  </si>
  <si>
    <t>M5 x25</t>
  </si>
  <si>
    <t>M3 x 12 with M3 hex head nuts</t>
  </si>
  <si>
    <t>https://www.mcmaster.com/1865k3/</t>
  </si>
  <si>
    <t>1865K3</t>
  </si>
  <si>
    <t>Aluminum Easy-Access Base-Mounted Shaft Support (1/2')</t>
  </si>
  <si>
    <t>Amazon.com: 3M tegaderm Roll 2" x 11Yd Transparent Film Dressing (Each), # 16002 : Health &amp; Household</t>
  </si>
  <si>
    <t>Tegaderm</t>
  </si>
  <si>
    <t>2 day prime</t>
  </si>
  <si>
    <t>PDMS Silicone</t>
  </si>
  <si>
    <t>Yufreyoo PDMS Silicone Film Sheet for Bio-Chips and Packaging, 200mm x 150/300mm, 300m, Transparent, Elastic, Low Modulus: Amazon.com: Industrial &amp; Scientific</t>
  </si>
  <si>
    <t>Please Check if In Temple</t>
  </si>
  <si>
    <t>Amazon.com: Translucent Silicone Rubber Sheet - High Temp Silicone Gasket, 0.5mm to 30mm Thickness, Versatile Use, 1pc(50x50x0.5mm) : Industrial &amp; Scientific</t>
  </si>
  <si>
    <t>Nylon Mesh Fabric</t>
  </si>
  <si>
    <t>Amazon.com: OTGMGCB Nylon Mesh Fabric, 60 80 100 120 200 250 300 350 400 500 Mesh Filter, Reusable Strainer Cloth for Wine Juice Fresh Milk(1m x 1m) (400 mesh) : Industrial &amp; Scientific</t>
  </si>
  <si>
    <t>2 days prime</t>
  </si>
  <si>
    <t>2 weeks</t>
  </si>
  <si>
    <t>Thermo Fisher</t>
  </si>
  <si>
    <t>Methyline Chloride</t>
  </si>
  <si>
    <t>Dichloromethane, 99.8+%, for analysis, stabilized with amylene 1 L | Buy Online</t>
  </si>
  <si>
    <t>Unknown (needs temple account)</t>
  </si>
  <si>
    <t>PRICE TOTAL</t>
  </si>
  <si>
    <t>MAX TOTAL</t>
  </si>
  <si>
    <t>LEFT</t>
  </si>
  <si>
    <t>Stepper Motor For Rod</t>
  </si>
  <si>
    <t>6627T53</t>
  </si>
  <si>
    <t>https://www.mcmaster.com/6627T53/</t>
  </si>
  <si>
    <t>2 days</t>
  </si>
  <si>
    <t>Holding the order (would purchase if the bolts did not work for the bioreactor / plan B)</t>
  </si>
  <si>
    <t>Holding the order (will try with the other motor first)</t>
  </si>
  <si>
    <t>N/A (NEMA 17)</t>
  </si>
  <si>
    <t>Stepper Motor for Bioreactor</t>
  </si>
  <si>
    <t>6627T242</t>
  </si>
  <si>
    <t>https://www.mcmaster.com/6627T242/</t>
  </si>
  <si>
    <t>Holding the order to double check with advisor</t>
  </si>
  <si>
    <t>Surpassing $100</t>
  </si>
  <si>
    <t>Motor (NEMA 17) to Shaft Coupler</t>
  </si>
  <si>
    <t>Motor (NEMA 23) to Shaft Coupler</t>
  </si>
  <si>
    <t>5mm to 12.7mm Plum Flexible Shaft Coupling, Diameter 30mm Length 35mm Aluminium Motor Connector Flexible Spider Coupler for 3D Printer CNC Machine Servo Stepped Motor: Amazon.com: Industrial &amp; Scientific</t>
  </si>
  <si>
    <t>6.35mm to 12.7mm Plum Flexible Shaft Coupling, Diameter 30mm Length 35mm Aluminium Motor Connector Flexible Spider Coupler for 3D Printer CNC Machine Servo Stepped Motor: Amazon.com: Industrial &amp; Scientific</t>
  </si>
  <si>
    <t>StepperOnline</t>
  </si>
  <si>
    <t>ST-M2</t>
  </si>
  <si>
    <t>Nema 23 Bracket for Stepper Motor and Geared Stepper Motor Alloy Steel Bracket - ST-M2 | StepperOnline</t>
  </si>
  <si>
    <t>Within 24 hours</t>
  </si>
  <si>
    <t>Camera+ 64 GB Card</t>
  </si>
  <si>
    <t>Contact Cement</t>
  </si>
  <si>
    <t>Quart-inch Tap</t>
  </si>
  <si>
    <t>Uncoated High-Speed Steel Tap Set, 1/4"-20 UNC | McMaster-Carr</t>
  </si>
  <si>
    <t>2521A771</t>
  </si>
  <si>
    <t>Clear-Tite Contact Cement, 4 oz. can - Laminate Flooring, Countertops, Tabletops, Crepe Rubber, Ceramics, Wood Veneers, Waterproof, Long Lasting - RH Adhesives: Amazon.com: Industrial &amp; Scientific</t>
  </si>
  <si>
    <t>5 days</t>
  </si>
  <si>
    <t>When to Order/ Need?</t>
  </si>
  <si>
    <t>Thank you so much for everyone who is in charge of ordering and reviewing &lt;3 !! We would love to see you at our final presentation :D (Nov. 20!)</t>
  </si>
  <si>
    <t>Purchased :D</t>
  </si>
  <si>
    <t>Mounted Ball Bearing</t>
  </si>
  <si>
    <t>https://www.mcmaster.com/2820T36/</t>
  </si>
  <si>
    <t>2820T36</t>
  </si>
  <si>
    <t>Silicone Gasket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</si>
</sst>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$&quot;#,##0_);[Red]\(&quot;$&quot;#,##0\)"/>
  </numFmts>
  <fonts count="1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"/>
      <name val="Arial"/>
      <family val="2"/>
    </font>
    <font>
      <u/>
      <sz val="11"/>
      <color theme="1"/>
      <name val="Aptos Narrow"/>
      <family val="2"/>
      <scheme val="minor"/>
    </font>
    <font>
      <u/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u/>
      <sz val="14"/>
      <color theme="1"/>
      <name val="Arial"/>
      <family val="2"/>
    </font>
    <font>
      <sz val="11"/>
      <color rgb="FF333333"/>
      <name val="Arial"/>
      <family val="2"/>
    </font>
    <font>
      <b/>
      <i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6" fontId="2" fillId="0" borderId="0" xfId="0" applyNumberFormat="1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5" fillId="0" borderId="0" xfId="1" applyFont="1" applyAlignment="1">
      <alignment horizontal="center" wrapText="1"/>
    </xf>
    <xf numFmtId="0" fontId="6" fillId="0" borderId="0" xfId="1" applyFont="1" applyAlignment="1">
      <alignment horizontal="center" wrapText="1"/>
    </xf>
    <xf numFmtId="0" fontId="6" fillId="0" borderId="0" xfId="1" applyFont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8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11" fillId="0" borderId="0" xfId="0" applyFont="1"/>
    <xf numFmtId="0" fontId="4" fillId="0" borderId="0" xfId="1" applyFont="1"/>
    <xf numFmtId="0" fontId="10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7" fillId="0" borderId="0" xfId="1" applyFont="1" applyAlignment="1">
      <alignment horizontal="center"/>
    </xf>
    <xf numFmtId="0" fontId="7" fillId="0" borderId="0" xfId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7C78E320-72B0-4D6B-A5ED-5FFC046CEF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Silicone-Transparent-Electronic-Substrate-microfluidic/dp/B0CQX5B4T5/ref=sr_1_23?crid=KPDEYNGDFTVE&amp;dib=eyJ2IjoiMSJ9.5uA2uxW96UlTuVRmXaB7tLEpqhkd7WKzR3eqWVWHH4LaNNIBXuLpqVhbjEFh4bjzV00RBBMTkebdMblIrApCnfNXgbcjs5o9gNaHnw3jQEcXdh97eNvykLpiYJtt_5JixxX37MQn9aEg1GSm98Nkfl00X_0IFbBgYK4G6O4au3-u_xBiz5XnvVEUfzVSrBKhHq5SohqGB1aNA2RZU7tia09na_1RPie-L2uU1LqGLM72-LDTdc4DlIQnflaeTawUbC5SluI0YEYkwnkFeIYLUGKIFQWDRDYkfwWUDNX7ux4._zTUl12W0XjKlVtK4gt790xlkZZ0F4uDcEUIW6gW70s&amp;dib_tag=se&amp;keywords=PDMS%2BSilicone&amp;qid=1760138584&amp;s=industrial&amp;sprefix=pdms%2Bsilicone%2Cindustrial%2C99&amp;sr=1-23&amp;th=1" TargetMode="External"/><Relationship Id="rId13" Type="http://schemas.openxmlformats.org/officeDocument/2006/relationships/hyperlink" Target="https://www.amazon.com/Flexible-Coupling-Diameter-Aluminium-Connector/dp/B0DLGSB45C/ref=sr_1_1?crid=VAEPQ7NAYKUF&amp;dib=eyJ2IjoiMSJ9.FerffVQk7pp9Cr6tBVoXmVHeKwAa6hwMa6Ti7EVXykURr2Wg_pZl4OKhLvYOt3KYiReEyXaWHT3DVvZ9ldSp-TmjlTBKfAojmP82SqBGsQO7cAzalE62vwM5VnfC4TO1Edmz2LTfD0rQ9-Ur-Wml8MIjJYamrqms8S1PGNdOsaI0X6uwrbbjcq0qSHmqD5YIyXhlKpntBJXAzG6vmhI2PGHaznBmPsTF2XzdsATBGttswioW79BB649YX8IfS1IGPU8xoEdJfBsHK0OEUHmrdjfTFWzTJemIkHwIN-Xzhqg.htDX2odIYKJcSsUVEyN4uuhprIBaouVYT87AbnF0rE4&amp;dib_tag=se&amp;keywords=5mm%2Bto%2B12.7%2Bmm%2Bshaft%2Bcoupler&amp;qid=1760132283&amp;s=industrial&amp;sprefix=%2Cindustrial%2C93&amp;sr=1-1&amp;th=1" TargetMode="External"/><Relationship Id="rId18" Type="http://schemas.openxmlformats.org/officeDocument/2006/relationships/hyperlink" Target="https://www.amazon.com/RH-Adhesives-Clear-Tite-Contact-Cement/dp/B09FF3XWQL/ref=sr_1_1_sspa?adgrpid=1338106221347223&amp;dib=eyJ2IjoiMSJ9.cVtUGdTERUjjQC6db_XY26Gv5wwk3QrgFsvvAHxolc8gWb5QNDB9yWfcxmAuWST_y2KMNhdK2JyDVNxCnAq2XWyQmWK8uzk08Moi9L22shGrO2a3Z6z4H1nSXgn_oGXq9wJn0GfHLcRkvPCxCJHocULY_eSj9hm8RwN_VhzB6FZHByCr3mu1jpBvm-N4PWS5PGY4rM8_r9RuYc37CsuuaxF_iJoKIk-PsxtvsjJDi9E.Z1BFleDUiLYc5VsGU8a2c8waJD5YwCSENAQNPueUtwo&amp;dib_tag=se&amp;hvadid=83631853407198&amp;hvbmt=be&amp;hvdev=c&amp;hvlocphy=94464&amp;hvnetw=o&amp;hvqmt=e&amp;hvtargid=kwd-83631995382857%3Aloc-190&amp;hydadcr=24661_13514164&amp;keywords=contact%2Bcement&amp;mcid=d1f92da8eb6e30cfb3c73f7c75e8104a&amp;qid=1760146887&amp;sr=8-1-spons&amp;sp_csd=d2lkZ2V0TmFtZT1zcF9hdGY&amp;th=1" TargetMode="External"/><Relationship Id="rId3" Type="http://schemas.openxmlformats.org/officeDocument/2006/relationships/hyperlink" Target="https://www.grainger.com/product/1ZAJ4?gucid=N:N:PS:Paid:GGL:CSM-2295:Y8ZQJW:20500801:APZ_1&amp;gclsrc=aw.ds&amp;gad_source=1&amp;gad_campaignid=21375667808&amp;gclid=CjwKCAjwup3HBhAAEiwA7euZupVfnF56tTD30sDZdcb_W33_h4_6c3uuxgRc4A1tUP-Dz9LUERSRxBoCqW8QAvD_BwE" TargetMode="External"/><Relationship Id="rId7" Type="http://schemas.openxmlformats.org/officeDocument/2006/relationships/hyperlink" Target="https://www.amazon.com/dp/B0FFYVQ7MZ?ref=cm_sw_r_cso_wa_mwn_dp_MEGBDTH2VFDH9Z4MPD3Y&amp;ref_=cm_sw_r_cso_wa_mwn_dp_MEGBDTH2VFDH9Z4MPD3Y&amp;social_share=cm_sw_r_cso_wa_mwn_dp_MEGBDTH2VFDH9Z4MPD3Y&amp;th=1" TargetMode="External"/><Relationship Id="rId12" Type="http://schemas.openxmlformats.org/officeDocument/2006/relationships/hyperlink" Target="https://www.mcmaster.com/6627T242/" TargetMode="External"/><Relationship Id="rId17" Type="http://schemas.openxmlformats.org/officeDocument/2006/relationships/hyperlink" Target="https://www.mcmaster.com/2521A771/" TargetMode="External"/><Relationship Id="rId2" Type="http://schemas.openxmlformats.org/officeDocument/2006/relationships/hyperlink" Target="https://www.homedepot.com/p/OPTIX-18-in-x-24-in-x-0-220-1-4-in-Clear-Acrylic-Sheet-MC-21/202038050" TargetMode="External"/><Relationship Id="rId16" Type="http://schemas.openxmlformats.org/officeDocument/2006/relationships/hyperlink" Target="https://www.matterhackers.com/store/l/liqcreate-resin-for-lcd-dlp-3d-printers-bio-med-clear/sk/MWTC9J7J" TargetMode="External"/><Relationship Id="rId1" Type="http://schemas.openxmlformats.org/officeDocument/2006/relationships/hyperlink" Target="https://usamerica.shop/product/mini-wifi-camera-1080p-hd-with-night-vision-included/?utm_source=Google+Shopping&amp;utm_medium=cpc&amp;utm_campaign=CTX+Shopping+Google+Feed+Only+parent&amp;msclkid=8b9a6c38436a16700fc304ef0e927eb5&amp;v=0b3b97fa6688" TargetMode="External"/><Relationship Id="rId6" Type="http://schemas.openxmlformats.org/officeDocument/2006/relationships/hyperlink" Target="https://www.amazon.com/OTGMGCB-Fabric-Filter-Reusable-Strainer/dp/B0F29XXS3L/ref=sr_1_1?crid=X50SCFPKRDU2&amp;dib=eyJ2IjoiMSJ9.3NjbfhVgqPjOC1yk_ZCmH85xt05PfwE45nPdyNlva2bRnggJRQD-3D2QldXKvs8_txQETRLT9TOIXr0bGfmMIlKCud5JQaqLNMsaCiIM-ZNN5M8JZaJKXMJ21FCyQA8uvWjCUmORrgtyspvbefyB6cLEf8rTr5NemKgNpPmp-RumAmZhypntDXxjeuUyXCUnbmzBFAGI3-rNXOY7PT5uGG7oLNYgnMPgyutwCT5rCKu4wYMLQWkgBoQC2Ri01lKWSbuopiZHY8eycoIDAS7upXBVOY0EqH7E43vboIscAFQ.l9OU5vSmnGhXifT5QKzDn8qvzS4cR3iBfsQiS8oRsps&amp;dib_tag=se&amp;keywords=3%2F8in%2Bnylon%2Bfabric%2Bmesh&amp;qid=1760138164&amp;sprefix=3%2F8in%2Bnylon%2Bfabric%2Bmesh%2Caps%2C168&amp;sr=8-1&amp;th=1" TargetMode="External"/><Relationship Id="rId11" Type="http://schemas.openxmlformats.org/officeDocument/2006/relationships/hyperlink" Target="https://www.mcmaster.com/4668K6/" TargetMode="External"/><Relationship Id="rId5" Type="http://schemas.openxmlformats.org/officeDocument/2006/relationships/hyperlink" Target="https://www.mcmaster.com/1865k3/" TargetMode="External"/><Relationship Id="rId15" Type="http://schemas.openxmlformats.org/officeDocument/2006/relationships/hyperlink" Target="https://www.omc-stepperonline.com/nema-23-bracket-for-stepper-motor-and-geared-stepper-motor-alloy-steel-bracket-st-m2?search=Nema%2023%20Bracket%20for%20Stepper%20Motor" TargetMode="External"/><Relationship Id="rId10" Type="http://schemas.openxmlformats.org/officeDocument/2006/relationships/hyperlink" Target="https://www.mcmaster.com/6627T53/" TargetMode="External"/><Relationship Id="rId19" Type="http://schemas.openxmlformats.org/officeDocument/2006/relationships/hyperlink" Target="https://www.mcmaster.com/2820T36/" TargetMode="External"/><Relationship Id="rId4" Type="http://schemas.openxmlformats.org/officeDocument/2006/relationships/hyperlink" Target="https://www.amazon.com/3M-Tegaderm-Transparent-Dressing-16002/dp/B006I4JZM6?th=1" TargetMode="External"/><Relationship Id="rId9" Type="http://schemas.openxmlformats.org/officeDocument/2006/relationships/hyperlink" Target="https://www.thermofisher.com/order/catalog/product/113460010" TargetMode="External"/><Relationship Id="rId14" Type="http://schemas.openxmlformats.org/officeDocument/2006/relationships/hyperlink" Target="https://www.amazon.com/Flexible-Coupling-Diameter-Aluminium-Connector/dp/B0DLGQPJY4/ref=sr_1_1?crid=P812H5FOGS0Q&amp;dib=eyJ2IjoiMSJ9.f8ZyhAmq3WVIsEtCeaGXrSE8pRcajtozuIxd5Hiah0ccag0b6cl26uZ-3Ao_YR4VesqgQxhwiyOQQWiKuInrJm3520XT6S6KPj3AR8anhAM1_A-v4_-X8XY-NjCGi3LqES08HXh5pblAcO7hVpA0DyRdmqD0fAuD6WkYu4yqy1F9MEvpOTxy65Em3DFpty6wQsgW_WXD6AtKczZykZ6hSg_9BnnC3WNSpTkVN2neBLrgn-xIe2bXmzPPSFaZWPKZyWbMjgOyhpbChA3H1lyzqlLYLohBuaWsFAKYNIFVmKs.XMoklJa7onHVMNw5FdlqgvgMii1Q_lDMv-I8YmoqAZc&amp;dib_tag=se&amp;keywords=6.3246mm%2Bto%2B12.7mm%2Bshaft%2Bcoupler&amp;qid=1760143039&amp;s=industrial&amp;sprefix=6.3246mm%2Bto%2B12.7mm%2Bshaft%2Bcoupler%2Cindustrial%2C59&amp;sr=1-1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5CC3D-8F00-44C9-AD17-C835FA82A2EA}">
  <dimension ref="B2:Z82"/>
  <sheetViews>
    <sheetView tabSelected="1" topLeftCell="I44" zoomScale="64" workbookViewId="0">
      <selection activeCell="J46" sqref="J46"/>
    </sheetView>
  </sheetViews>
  <sheetFormatPr defaultColWidth="8.6328125" defaultRowHeight="14" x14ac:dyDescent="0.35"/>
  <cols>
    <col min="1" max="1" width="3.453125" style="1" customWidth="1"/>
    <col min="2" max="2" width="8.6328125" style="1"/>
    <col min="3" max="3" width="29.7265625" style="1" customWidth="1"/>
    <col min="4" max="4" width="9.453125" style="1" customWidth="1"/>
    <col min="5" max="5" width="15.1796875" style="1" customWidth="1"/>
    <col min="6" max="6" width="3.6328125" style="1" customWidth="1"/>
    <col min="7" max="7" width="17.6328125" style="1" customWidth="1"/>
    <col min="8" max="8" width="17.453125" style="1" customWidth="1"/>
    <col min="9" max="9" width="8.6328125" style="1"/>
    <col min="10" max="10" width="29.1796875" style="1" customWidth="1"/>
    <col min="11" max="11" width="8.6328125" style="1"/>
    <col min="12" max="12" width="18.7265625" style="1" customWidth="1"/>
    <col min="13" max="13" width="8.6328125" style="1"/>
    <col min="14" max="14" width="16.1796875" style="1" customWidth="1"/>
    <col min="15" max="15" width="8.6328125" style="1"/>
    <col min="16" max="16" width="50.81640625" style="7" customWidth="1"/>
    <col min="17" max="17" width="8.6328125" style="1"/>
    <col min="18" max="18" width="11.453125" style="1" customWidth="1"/>
    <col min="19" max="22" width="8.6328125" style="1"/>
    <col min="23" max="23" width="7.36328125" style="1" customWidth="1"/>
    <col min="24" max="24" width="23.6328125" style="1" customWidth="1"/>
    <col min="25" max="25" width="8.6328125" style="1" customWidth="1"/>
    <col min="26" max="26" width="35.26953125" style="1" customWidth="1"/>
    <col min="27" max="16384" width="8.6328125" style="1"/>
  </cols>
  <sheetData>
    <row r="2" spans="2:26" x14ac:dyDescent="0.35">
      <c r="C2" s="23" t="s">
        <v>109</v>
      </c>
    </row>
    <row r="4" spans="2:26" ht="28" x14ac:dyDescent="0.35">
      <c r="B4" s="22" t="s">
        <v>50</v>
      </c>
      <c r="E4" s="2" t="s">
        <v>92</v>
      </c>
      <c r="G4" s="2" t="s">
        <v>48</v>
      </c>
      <c r="H4" s="2" t="s">
        <v>25</v>
      </c>
      <c r="J4" s="2" t="s">
        <v>0</v>
      </c>
      <c r="L4" s="2" t="s">
        <v>1</v>
      </c>
      <c r="N4" s="2" t="s">
        <v>2</v>
      </c>
      <c r="P4" s="10" t="s">
        <v>3</v>
      </c>
      <c r="R4" s="2" t="s">
        <v>4</v>
      </c>
      <c r="T4" s="2" t="s">
        <v>5</v>
      </c>
      <c r="U4" s="2"/>
      <c r="V4" s="2" t="s">
        <v>6</v>
      </c>
      <c r="X4" s="2" t="s">
        <v>30</v>
      </c>
      <c r="Z4" s="2" t="s">
        <v>108</v>
      </c>
    </row>
    <row r="5" spans="2:26" ht="25.5" customHeight="1" x14ac:dyDescent="0.35">
      <c r="B5" s="18"/>
      <c r="C5" s="1" t="s">
        <v>51</v>
      </c>
    </row>
    <row r="6" spans="2:26" ht="28" x14ac:dyDescent="0.35">
      <c r="B6" s="9"/>
      <c r="C6" s="1" t="s">
        <v>52</v>
      </c>
      <c r="E6" s="16" t="b">
        <v>0</v>
      </c>
      <c r="G6" s="8"/>
      <c r="H6" s="1" t="s">
        <v>26</v>
      </c>
      <c r="J6" s="1" t="s">
        <v>101</v>
      </c>
      <c r="L6" s="1" t="s">
        <v>7</v>
      </c>
      <c r="N6" s="1" t="s">
        <v>12</v>
      </c>
      <c r="P6" s="6" t="s">
        <v>8</v>
      </c>
      <c r="R6" s="1">
        <v>1</v>
      </c>
      <c r="T6" s="1">
        <v>39.9</v>
      </c>
      <c r="V6" s="1">
        <f>T6*R6</f>
        <v>39.9</v>
      </c>
      <c r="X6" s="1" t="s">
        <v>17</v>
      </c>
      <c r="Z6" s="1" t="s">
        <v>20</v>
      </c>
    </row>
    <row r="7" spans="2:26" ht="30" customHeight="1" x14ac:dyDescent="0.35">
      <c r="B7" s="8"/>
      <c r="C7" s="1" t="s">
        <v>53</v>
      </c>
      <c r="P7" s="6"/>
    </row>
    <row r="8" spans="2:26" ht="28" x14ac:dyDescent="0.35">
      <c r="B8" s="11"/>
      <c r="C8" s="1" t="s">
        <v>68</v>
      </c>
      <c r="E8" s="16" t="b">
        <v>0</v>
      </c>
      <c r="G8" s="8"/>
      <c r="H8" s="1" t="s">
        <v>27</v>
      </c>
      <c r="J8" s="1" t="s">
        <v>35</v>
      </c>
      <c r="L8" s="1" t="s">
        <v>13</v>
      </c>
      <c r="N8" s="1">
        <v>241610</v>
      </c>
      <c r="P8" s="6" t="s">
        <v>13</v>
      </c>
      <c r="R8" s="1">
        <v>1</v>
      </c>
      <c r="T8" s="1">
        <v>36.979999999999997</v>
      </c>
      <c r="V8" s="1">
        <f>T8*R8</f>
        <v>36.979999999999997</v>
      </c>
      <c r="X8" s="1" t="s">
        <v>24</v>
      </c>
      <c r="Z8" s="1" t="s">
        <v>49</v>
      </c>
    </row>
    <row r="9" spans="2:26" ht="28" x14ac:dyDescent="0.35">
      <c r="B9" s="19"/>
      <c r="C9" s="1" t="s">
        <v>91</v>
      </c>
    </row>
    <row r="10" spans="2:26" ht="28" x14ac:dyDescent="0.35">
      <c r="E10" s="16" t="b">
        <v>0</v>
      </c>
      <c r="G10" s="18"/>
      <c r="H10" s="1" t="s">
        <v>27</v>
      </c>
      <c r="J10" s="1" t="s">
        <v>36</v>
      </c>
      <c r="L10" s="1" t="s">
        <v>56</v>
      </c>
      <c r="N10" s="1" t="s">
        <v>12</v>
      </c>
      <c r="P10" s="6" t="s">
        <v>54</v>
      </c>
      <c r="R10" s="1">
        <v>1</v>
      </c>
      <c r="T10" s="1">
        <v>29.62</v>
      </c>
      <c r="V10" s="1">
        <f>T10*R10</f>
        <v>29.62</v>
      </c>
      <c r="X10" s="1" t="s">
        <v>55</v>
      </c>
      <c r="Z10" s="1" t="s">
        <v>34</v>
      </c>
    </row>
    <row r="11" spans="2:26" x14ac:dyDescent="0.35">
      <c r="P11" s="6"/>
    </row>
    <row r="12" spans="2:26" ht="32" customHeight="1" x14ac:dyDescent="0.35">
      <c r="E12" s="16" t="b">
        <v>0</v>
      </c>
      <c r="G12" s="9"/>
      <c r="H12" s="1" t="s">
        <v>27</v>
      </c>
      <c r="J12" s="1" t="s">
        <v>37</v>
      </c>
      <c r="L12" s="1" t="s">
        <v>32</v>
      </c>
      <c r="N12" s="1" t="s">
        <v>12</v>
      </c>
      <c r="P12" s="7" t="s">
        <v>12</v>
      </c>
      <c r="R12" s="1">
        <v>0</v>
      </c>
      <c r="T12" s="1">
        <v>0</v>
      </c>
      <c r="V12" s="1">
        <f>T12*R12</f>
        <v>0</v>
      </c>
      <c r="X12" s="1" t="s">
        <v>33</v>
      </c>
      <c r="Z12" s="1" t="s">
        <v>21</v>
      </c>
    </row>
    <row r="14" spans="2:26" ht="26.5" customHeight="1" x14ac:dyDescent="0.35">
      <c r="E14" s="16" t="b">
        <v>0</v>
      </c>
      <c r="G14" s="9"/>
      <c r="H14" s="1" t="s">
        <v>27</v>
      </c>
      <c r="J14" s="1" t="s">
        <v>57</v>
      </c>
      <c r="L14" s="1" t="s">
        <v>22</v>
      </c>
      <c r="N14" s="1" t="s">
        <v>12</v>
      </c>
      <c r="P14" s="7" t="s">
        <v>12</v>
      </c>
      <c r="R14" s="1">
        <v>18</v>
      </c>
      <c r="T14" s="1">
        <v>0</v>
      </c>
      <c r="V14" s="1">
        <f>T14*R14</f>
        <v>0</v>
      </c>
      <c r="X14" s="1" t="s">
        <v>23</v>
      </c>
      <c r="Z14" s="1" t="s">
        <v>21</v>
      </c>
    </row>
    <row r="15" spans="2:26" x14ac:dyDescent="0.35">
      <c r="Z15" s="4"/>
    </row>
    <row r="16" spans="2:26" ht="27.5" customHeight="1" x14ac:dyDescent="0.35">
      <c r="E16" s="16" t="b">
        <v>0</v>
      </c>
      <c r="G16" s="9"/>
      <c r="H16" s="1" t="s">
        <v>27</v>
      </c>
      <c r="J16" s="1" t="s">
        <v>58</v>
      </c>
      <c r="L16" s="1" t="s">
        <v>22</v>
      </c>
      <c r="N16" s="1" t="s">
        <v>12</v>
      </c>
      <c r="O16" s="3"/>
      <c r="P16" s="7" t="s">
        <v>12</v>
      </c>
      <c r="R16" s="1">
        <v>8</v>
      </c>
      <c r="T16" s="1">
        <v>0</v>
      </c>
      <c r="V16" s="1">
        <f>T16*R16</f>
        <v>0</v>
      </c>
      <c r="X16" s="1" t="s">
        <v>23</v>
      </c>
      <c r="Z16" s="1" t="s">
        <v>21</v>
      </c>
    </row>
    <row r="18" spans="5:26" ht="27.5" customHeight="1" x14ac:dyDescent="0.35">
      <c r="E18" s="16" t="b">
        <v>0</v>
      </c>
      <c r="G18" s="9"/>
      <c r="H18" s="1" t="s">
        <v>27</v>
      </c>
      <c r="J18" s="1" t="s">
        <v>59</v>
      </c>
      <c r="L18" s="1" t="s">
        <v>22</v>
      </c>
      <c r="N18" s="1" t="s">
        <v>12</v>
      </c>
      <c r="O18" s="3"/>
      <c r="P18" s="7" t="s">
        <v>12</v>
      </c>
      <c r="R18" s="1">
        <v>16</v>
      </c>
      <c r="T18" s="1">
        <v>0</v>
      </c>
      <c r="V18" s="1">
        <f>T18*R18</f>
        <v>0</v>
      </c>
      <c r="X18" s="1" t="s">
        <v>23</v>
      </c>
      <c r="Z18" s="1" t="s">
        <v>21</v>
      </c>
    </row>
    <row r="20" spans="5:26" ht="22" customHeight="1" x14ac:dyDescent="0.35">
      <c r="E20" s="16" t="b">
        <v>0</v>
      </c>
      <c r="G20" s="9" t="s">
        <v>110</v>
      </c>
      <c r="H20" s="1" t="s">
        <v>27</v>
      </c>
      <c r="J20" s="1" t="s">
        <v>43</v>
      </c>
      <c r="L20" s="1" t="s">
        <v>10</v>
      </c>
      <c r="N20" s="1" t="s">
        <v>12</v>
      </c>
      <c r="P20" s="7" t="s">
        <v>12</v>
      </c>
      <c r="R20" s="1">
        <v>1</v>
      </c>
      <c r="T20" s="1">
        <v>0</v>
      </c>
      <c r="V20" s="1">
        <f>T20*R20</f>
        <v>0</v>
      </c>
      <c r="X20" s="1" t="s">
        <v>24</v>
      </c>
      <c r="Z20" s="1" t="s">
        <v>21</v>
      </c>
    </row>
    <row r="22" spans="5:26" ht="28" x14ac:dyDescent="0.35">
      <c r="E22" s="16" t="b">
        <v>0</v>
      </c>
      <c r="G22" s="18"/>
      <c r="H22" s="1" t="s">
        <v>27</v>
      </c>
      <c r="J22" s="1" t="s">
        <v>62</v>
      </c>
      <c r="L22" s="1" t="s">
        <v>9</v>
      </c>
      <c r="N22" s="1" t="s">
        <v>61</v>
      </c>
      <c r="P22" s="6" t="s">
        <v>60</v>
      </c>
      <c r="R22" s="1">
        <v>2</v>
      </c>
      <c r="T22" s="1">
        <v>28.2</v>
      </c>
      <c r="V22" s="1">
        <f>T22*R22</f>
        <v>56.4</v>
      </c>
      <c r="X22" s="1" t="s">
        <v>18</v>
      </c>
      <c r="Z22" s="1" t="s">
        <v>21</v>
      </c>
    </row>
    <row r="23" spans="5:26" x14ac:dyDescent="0.3">
      <c r="P23" s="6"/>
      <c r="T23" s="20"/>
    </row>
    <row r="24" spans="5:26" x14ac:dyDescent="0.3">
      <c r="E24" s="16" t="b">
        <v>0</v>
      </c>
      <c r="G24" s="18"/>
      <c r="H24" s="1" t="s">
        <v>27</v>
      </c>
      <c r="J24" s="1" t="s">
        <v>111</v>
      </c>
      <c r="L24" s="1" t="s">
        <v>9</v>
      </c>
      <c r="N24" s="1" t="s">
        <v>113</v>
      </c>
      <c r="P24" s="26" t="s">
        <v>112</v>
      </c>
      <c r="R24" s="1">
        <v>1</v>
      </c>
      <c r="T24" s="24">
        <v>25.14</v>
      </c>
      <c r="V24" s="1">
        <f>T24*R24</f>
        <v>25.14</v>
      </c>
      <c r="X24" s="1" t="s">
        <v>84</v>
      </c>
      <c r="Z24" s="1" t="s">
        <v>21</v>
      </c>
    </row>
    <row r="25" spans="5:26" x14ac:dyDescent="0.3">
      <c r="P25" s="6"/>
      <c r="T25" s="24"/>
    </row>
    <row r="26" spans="5:26" x14ac:dyDescent="0.3">
      <c r="E26" s="16" t="b">
        <v>0</v>
      </c>
      <c r="G26" s="18"/>
      <c r="H26" s="1" t="s">
        <v>27</v>
      </c>
      <c r="J26" s="1" t="s">
        <v>39</v>
      </c>
      <c r="L26" s="1" t="s">
        <v>9</v>
      </c>
      <c r="N26" s="1" t="s">
        <v>46</v>
      </c>
      <c r="P26" s="25" t="s">
        <v>45</v>
      </c>
      <c r="R26" s="1">
        <v>1</v>
      </c>
      <c r="T26" s="1">
        <v>30.3</v>
      </c>
      <c r="V26" s="1">
        <f>T26*R26</f>
        <v>30.3</v>
      </c>
      <c r="X26" s="1" t="s">
        <v>44</v>
      </c>
      <c r="Z26" s="1" t="s">
        <v>21</v>
      </c>
    </row>
    <row r="27" spans="5:26" x14ac:dyDescent="0.3">
      <c r="P27" s="25"/>
    </row>
    <row r="28" spans="5:26" ht="28" x14ac:dyDescent="0.35">
      <c r="E28" s="16" t="b">
        <v>1</v>
      </c>
      <c r="G28" s="8"/>
      <c r="H28" s="1" t="s">
        <v>27</v>
      </c>
      <c r="J28" s="1" t="s">
        <v>81</v>
      </c>
      <c r="L28" s="1" t="s">
        <v>9</v>
      </c>
      <c r="N28" s="1" t="s">
        <v>82</v>
      </c>
      <c r="P28" s="6" t="s">
        <v>83</v>
      </c>
      <c r="R28" s="1">
        <v>1</v>
      </c>
      <c r="T28" s="1">
        <v>111.68</v>
      </c>
      <c r="V28" s="1">
        <f>T28*R28</f>
        <v>111.68</v>
      </c>
      <c r="X28" s="1" t="s">
        <v>84</v>
      </c>
      <c r="Z28" s="1" t="s">
        <v>86</v>
      </c>
    </row>
    <row r="29" spans="5:26" x14ac:dyDescent="0.35">
      <c r="P29" s="6"/>
    </row>
    <row r="30" spans="5:26" ht="70" x14ac:dyDescent="0.35">
      <c r="E30" s="16" t="b">
        <v>0</v>
      </c>
      <c r="G30" s="18"/>
      <c r="H30" s="1" t="s">
        <v>27</v>
      </c>
      <c r="J30" s="1" t="s">
        <v>94</v>
      </c>
      <c r="L30" s="1" t="s">
        <v>10</v>
      </c>
      <c r="N30" s="1" t="s">
        <v>12</v>
      </c>
      <c r="P30" s="6" t="s">
        <v>96</v>
      </c>
      <c r="R30" s="1">
        <v>1</v>
      </c>
      <c r="T30" s="1">
        <v>9.19</v>
      </c>
      <c r="V30" s="1">
        <f>T30*R30</f>
        <v>9.19</v>
      </c>
      <c r="X30" s="1" t="s">
        <v>65</v>
      </c>
      <c r="Z30" s="1" t="s">
        <v>86</v>
      </c>
    </row>
    <row r="31" spans="5:26" x14ac:dyDescent="0.35">
      <c r="P31" s="6"/>
    </row>
    <row r="32" spans="5:26" ht="39.5" customHeight="1" x14ac:dyDescent="0.35">
      <c r="E32" s="16" t="b">
        <v>0</v>
      </c>
      <c r="G32" s="19"/>
      <c r="H32" s="1" t="s">
        <v>27</v>
      </c>
      <c r="J32" s="1" t="s">
        <v>38</v>
      </c>
      <c r="L32" s="1" t="s">
        <v>97</v>
      </c>
      <c r="N32" s="1" t="s">
        <v>98</v>
      </c>
      <c r="P32" s="6" t="s">
        <v>99</v>
      </c>
      <c r="R32" s="1">
        <v>2</v>
      </c>
      <c r="T32" s="1">
        <v>4.09</v>
      </c>
      <c r="V32" s="1">
        <f>T32*R32</f>
        <v>8.18</v>
      </c>
      <c r="X32" s="1" t="s">
        <v>100</v>
      </c>
      <c r="Z32" s="1" t="s">
        <v>21</v>
      </c>
    </row>
    <row r="33" spans="5:26" x14ac:dyDescent="0.35">
      <c r="P33" s="6"/>
    </row>
    <row r="34" spans="5:26" ht="23" customHeight="1" x14ac:dyDescent="0.35">
      <c r="E34" s="16" t="b">
        <v>0</v>
      </c>
      <c r="G34" s="9"/>
      <c r="H34" s="1" t="s">
        <v>27</v>
      </c>
      <c r="J34" s="1" t="s">
        <v>81</v>
      </c>
      <c r="L34" s="1" t="s">
        <v>32</v>
      </c>
      <c r="N34" s="1" t="s">
        <v>12</v>
      </c>
      <c r="P34" s="7" t="s">
        <v>87</v>
      </c>
      <c r="R34" s="1">
        <v>1</v>
      </c>
      <c r="T34" s="1">
        <v>0</v>
      </c>
      <c r="V34" s="1">
        <f>T34*R34</f>
        <v>0</v>
      </c>
      <c r="X34" s="1" t="s">
        <v>33</v>
      </c>
      <c r="Z34" s="1" t="s">
        <v>21</v>
      </c>
    </row>
    <row r="36" spans="5:26" ht="70" x14ac:dyDescent="0.35">
      <c r="E36" s="16" t="b">
        <v>0</v>
      </c>
      <c r="G36" s="18"/>
      <c r="H36" s="1" t="s">
        <v>27</v>
      </c>
      <c r="J36" s="1" t="s">
        <v>93</v>
      </c>
      <c r="L36" s="1" t="s">
        <v>10</v>
      </c>
      <c r="N36" s="1" t="s">
        <v>12</v>
      </c>
      <c r="P36" s="6" t="s">
        <v>95</v>
      </c>
      <c r="R36" s="1">
        <v>1</v>
      </c>
      <c r="T36" s="1">
        <v>10.39</v>
      </c>
      <c r="V36" s="1">
        <f>T36*R36</f>
        <v>10.39</v>
      </c>
      <c r="X36" s="1" t="s">
        <v>65</v>
      </c>
      <c r="Z36" s="1" t="s">
        <v>21</v>
      </c>
    </row>
    <row r="37" spans="5:26" x14ac:dyDescent="0.35">
      <c r="P37" s="6"/>
    </row>
    <row r="38" spans="5:26" ht="20" customHeight="1" x14ac:dyDescent="0.35">
      <c r="E38" s="16" t="b">
        <v>0</v>
      </c>
      <c r="G38" s="9"/>
      <c r="H38" s="1" t="s">
        <v>27</v>
      </c>
      <c r="J38" s="1" t="s">
        <v>38</v>
      </c>
      <c r="L38" s="1" t="s">
        <v>32</v>
      </c>
      <c r="N38" s="1" t="s">
        <v>12</v>
      </c>
      <c r="P38" s="7" t="s">
        <v>12</v>
      </c>
      <c r="R38" s="1">
        <v>1</v>
      </c>
      <c r="T38" s="1">
        <v>0</v>
      </c>
      <c r="V38" s="1">
        <f>T38*R38</f>
        <v>0</v>
      </c>
      <c r="X38" s="1" t="s">
        <v>19</v>
      </c>
      <c r="Z38" s="1" t="s">
        <v>21</v>
      </c>
    </row>
    <row r="40" spans="5:26" ht="23.5" customHeight="1" x14ac:dyDescent="0.35">
      <c r="E40" s="16" t="b">
        <v>1</v>
      </c>
      <c r="G40" s="19"/>
      <c r="H40" s="1" t="s">
        <v>27</v>
      </c>
      <c r="J40" s="1" t="s">
        <v>88</v>
      </c>
      <c r="L40" s="1" t="s">
        <v>9</v>
      </c>
      <c r="N40" s="1" t="s">
        <v>89</v>
      </c>
      <c r="P40" s="6" t="s">
        <v>90</v>
      </c>
      <c r="R40" s="1">
        <v>1</v>
      </c>
      <c r="T40" s="1">
        <v>135.86000000000001</v>
      </c>
      <c r="V40" s="1">
        <f>T40*R40</f>
        <v>135.86000000000001</v>
      </c>
      <c r="X40" s="1" t="s">
        <v>84</v>
      </c>
      <c r="Z40" s="1" t="s">
        <v>21</v>
      </c>
    </row>
    <row r="42" spans="5:26" ht="18.5" customHeight="1" x14ac:dyDescent="0.35">
      <c r="E42" s="16" t="b">
        <v>0</v>
      </c>
      <c r="G42" s="9"/>
      <c r="H42" s="1" t="s">
        <v>27</v>
      </c>
      <c r="J42" s="1" t="s">
        <v>47</v>
      </c>
      <c r="L42" s="1" t="s">
        <v>32</v>
      </c>
      <c r="N42" s="1" t="s">
        <v>12</v>
      </c>
      <c r="P42" s="1" t="s">
        <v>12</v>
      </c>
      <c r="R42" s="1">
        <v>2</v>
      </c>
      <c r="T42" s="1">
        <v>0</v>
      </c>
      <c r="V42" s="1">
        <f>T42*R42</f>
        <v>0</v>
      </c>
      <c r="X42" s="1" t="s">
        <v>33</v>
      </c>
      <c r="Z42" s="1" t="s">
        <v>21</v>
      </c>
    </row>
    <row r="43" spans="5:26" x14ac:dyDescent="0.35">
      <c r="P43" s="1"/>
    </row>
    <row r="44" spans="5:26" x14ac:dyDescent="0.35"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5:26" x14ac:dyDescent="0.35">
      <c r="P45" s="1"/>
    </row>
    <row r="46" spans="5:26" ht="56" x14ac:dyDescent="0.3">
      <c r="E46" s="16" t="b">
        <v>0</v>
      </c>
      <c r="G46" s="11"/>
      <c r="H46" s="1" t="s">
        <v>29</v>
      </c>
      <c r="J46" s="1" t="s">
        <v>114</v>
      </c>
      <c r="L46" s="1" t="s">
        <v>10</v>
      </c>
      <c r="N46" s="1" t="s">
        <v>12</v>
      </c>
      <c r="P46" s="12" t="s">
        <v>69</v>
      </c>
      <c r="R46" s="1">
        <v>1</v>
      </c>
      <c r="T46" s="1">
        <v>24.32</v>
      </c>
      <c r="V46" s="1">
        <f>T46*R46</f>
        <v>24.32</v>
      </c>
      <c r="X46" s="1" t="s">
        <v>73</v>
      </c>
      <c r="Z46" s="1" t="s">
        <v>21</v>
      </c>
    </row>
    <row r="47" spans="5:26" x14ac:dyDescent="0.35">
      <c r="P47" s="1"/>
    </row>
    <row r="48" spans="5:26" ht="56" x14ac:dyDescent="0.35">
      <c r="E48" s="16" t="b">
        <v>0</v>
      </c>
      <c r="G48" s="11"/>
      <c r="H48" s="1" t="s">
        <v>29</v>
      </c>
      <c r="J48" s="1" t="s">
        <v>66</v>
      </c>
      <c r="L48" s="1" t="s">
        <v>10</v>
      </c>
      <c r="N48" s="1" t="s">
        <v>12</v>
      </c>
      <c r="P48" s="5" t="s">
        <v>67</v>
      </c>
      <c r="R48" s="1">
        <v>1</v>
      </c>
      <c r="T48" s="1">
        <v>29.99</v>
      </c>
      <c r="V48" s="1">
        <f>T48*R48</f>
        <v>29.99</v>
      </c>
      <c r="X48" s="1" t="s">
        <v>73</v>
      </c>
      <c r="Z48" s="1" t="s">
        <v>21</v>
      </c>
    </row>
    <row r="49" spans="5:26" x14ac:dyDescent="0.35">
      <c r="P49" s="1"/>
    </row>
    <row r="50" spans="5:26" ht="56" x14ac:dyDescent="0.3">
      <c r="E50" s="16" t="b">
        <v>0</v>
      </c>
      <c r="G50" s="11"/>
      <c r="H50" s="1" t="s">
        <v>29</v>
      </c>
      <c r="J50" s="1" t="s">
        <v>70</v>
      </c>
      <c r="L50" s="1" t="s">
        <v>10</v>
      </c>
      <c r="N50" s="1" t="s">
        <v>12</v>
      </c>
      <c r="P50" s="12" t="s">
        <v>71</v>
      </c>
      <c r="R50" s="1">
        <v>1</v>
      </c>
      <c r="T50" s="1">
        <v>15.99</v>
      </c>
      <c r="V50" s="1">
        <f>T50*R50</f>
        <v>15.99</v>
      </c>
      <c r="X50" s="1" t="s">
        <v>72</v>
      </c>
      <c r="Z50" s="1" t="s">
        <v>21</v>
      </c>
    </row>
    <row r="51" spans="5:26" x14ac:dyDescent="0.3">
      <c r="P51" s="12"/>
    </row>
    <row r="52" spans="5:26" ht="28" x14ac:dyDescent="0.3">
      <c r="E52" s="16" t="b">
        <v>0</v>
      </c>
      <c r="G52" s="11"/>
      <c r="H52" s="1" t="s">
        <v>29</v>
      </c>
      <c r="J52" s="1" t="s">
        <v>75</v>
      </c>
      <c r="L52" s="1" t="s">
        <v>74</v>
      </c>
      <c r="N52" s="1">
        <v>113460010</v>
      </c>
      <c r="P52" s="12" t="s">
        <v>76</v>
      </c>
      <c r="R52" s="1">
        <v>1</v>
      </c>
      <c r="T52" s="1">
        <v>44.65</v>
      </c>
      <c r="V52" s="1">
        <f>T52*R52</f>
        <v>44.65</v>
      </c>
      <c r="X52" s="17" t="s">
        <v>77</v>
      </c>
      <c r="Z52" s="1" t="s">
        <v>21</v>
      </c>
    </row>
    <row r="53" spans="5:26" x14ac:dyDescent="0.3">
      <c r="P53" s="12"/>
    </row>
    <row r="54" spans="5:26" ht="28" x14ac:dyDescent="0.3">
      <c r="E54" s="16" t="b">
        <v>0</v>
      </c>
      <c r="G54" s="11"/>
      <c r="H54" s="1" t="s">
        <v>29</v>
      </c>
      <c r="J54" s="1" t="s">
        <v>64</v>
      </c>
      <c r="L54" s="1" t="s">
        <v>10</v>
      </c>
      <c r="N54" s="1" t="s">
        <v>12</v>
      </c>
      <c r="P54" s="12" t="s">
        <v>63</v>
      </c>
      <c r="R54" s="1">
        <v>1</v>
      </c>
      <c r="T54" s="1">
        <v>19.989999999999998</v>
      </c>
      <c r="V54" s="1">
        <f>T54*R54</f>
        <v>19.989999999999998</v>
      </c>
      <c r="X54" s="1" t="s">
        <v>73</v>
      </c>
      <c r="Z54" s="1" t="s">
        <v>21</v>
      </c>
    </row>
    <row r="55" spans="5:26" x14ac:dyDescent="0.3">
      <c r="P55" s="12"/>
    </row>
    <row r="56" spans="5:26" ht="58" x14ac:dyDescent="0.35">
      <c r="E56" s="16" t="b">
        <v>0</v>
      </c>
      <c r="G56" s="11"/>
      <c r="H56" s="1" t="s">
        <v>29</v>
      </c>
      <c r="J56" s="1" t="s">
        <v>102</v>
      </c>
      <c r="L56" s="1" t="s">
        <v>10</v>
      </c>
      <c r="N56" s="1" t="s">
        <v>12</v>
      </c>
      <c r="P56" s="14" t="s">
        <v>106</v>
      </c>
      <c r="R56" s="1">
        <v>1</v>
      </c>
      <c r="T56" s="1">
        <v>12.99</v>
      </c>
      <c r="V56" s="1">
        <f>T56*R56</f>
        <v>12.99</v>
      </c>
      <c r="X56" s="1" t="s">
        <v>107</v>
      </c>
      <c r="Z56" s="1" t="s">
        <v>21</v>
      </c>
    </row>
    <row r="57" spans="5:26" x14ac:dyDescent="0.3">
      <c r="P57" s="12"/>
    </row>
    <row r="58" spans="5:26" ht="29" x14ac:dyDescent="0.35">
      <c r="E58" s="16" t="b">
        <v>0</v>
      </c>
      <c r="G58" s="11"/>
      <c r="H58" s="1" t="s">
        <v>29</v>
      </c>
      <c r="J58" s="1" t="s">
        <v>103</v>
      </c>
      <c r="L58" s="1" t="s">
        <v>9</v>
      </c>
      <c r="N58" s="1" t="s">
        <v>105</v>
      </c>
      <c r="P58" s="13" t="s">
        <v>104</v>
      </c>
      <c r="R58" s="1">
        <v>1</v>
      </c>
      <c r="T58" s="1">
        <v>18.739999999999998</v>
      </c>
      <c r="V58" s="1">
        <f>T58*R58</f>
        <v>18.739999999999998</v>
      </c>
      <c r="X58" s="1" t="s">
        <v>84</v>
      </c>
      <c r="Z58" s="1" t="s">
        <v>21</v>
      </c>
    </row>
    <row r="59" spans="5:26" x14ac:dyDescent="0.3">
      <c r="P59" s="12"/>
    </row>
    <row r="60" spans="5:26" ht="42" x14ac:dyDescent="0.35">
      <c r="E60" s="16" t="b">
        <v>0</v>
      </c>
      <c r="G60" s="8"/>
      <c r="H60" s="1" t="s">
        <v>29</v>
      </c>
      <c r="J60" s="1" t="s">
        <v>14</v>
      </c>
      <c r="L60" s="1" t="s">
        <v>15</v>
      </c>
      <c r="N60" s="1" t="s">
        <v>11</v>
      </c>
      <c r="P60" s="5" t="s">
        <v>16</v>
      </c>
      <c r="R60" s="1">
        <v>1</v>
      </c>
      <c r="T60" s="1">
        <v>55</v>
      </c>
      <c r="V60" s="1">
        <f>T60*R60</f>
        <v>55</v>
      </c>
      <c r="X60" s="1" t="s">
        <v>18</v>
      </c>
      <c r="Z60" s="1" t="s">
        <v>85</v>
      </c>
    </row>
    <row r="61" spans="5:26" x14ac:dyDescent="0.35">
      <c r="P61" s="5"/>
    </row>
    <row r="62" spans="5:26" x14ac:dyDescent="0.35"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5:26" x14ac:dyDescent="0.35">
      <c r="P63" s="1"/>
    </row>
    <row r="64" spans="5:26" x14ac:dyDescent="0.35">
      <c r="E64" s="16" t="b">
        <v>0</v>
      </c>
      <c r="G64" s="9"/>
      <c r="H64" s="1" t="s">
        <v>28</v>
      </c>
      <c r="J64" s="1" t="s">
        <v>40</v>
      </c>
      <c r="L64" s="1" t="s">
        <v>22</v>
      </c>
      <c r="N64" s="1" t="s">
        <v>12</v>
      </c>
      <c r="P64" s="1" t="s">
        <v>12</v>
      </c>
      <c r="R64" s="1">
        <v>0</v>
      </c>
      <c r="T64" s="1">
        <v>0</v>
      </c>
      <c r="V64" s="1">
        <f>T64*R64</f>
        <v>0</v>
      </c>
      <c r="X64" s="1" t="s">
        <v>23</v>
      </c>
      <c r="Z64" s="1" t="s">
        <v>31</v>
      </c>
    </row>
    <row r="65" spans="5:26" x14ac:dyDescent="0.35">
      <c r="P65" s="5"/>
    </row>
    <row r="66" spans="5:26" x14ac:dyDescent="0.35">
      <c r="E66" s="16" t="b">
        <v>0</v>
      </c>
      <c r="G66" s="9"/>
      <c r="H66" s="1" t="s">
        <v>28</v>
      </c>
      <c r="J66" s="1" t="s">
        <v>41</v>
      </c>
      <c r="L66" s="1" t="s">
        <v>22</v>
      </c>
      <c r="N66" s="1" t="s">
        <v>12</v>
      </c>
      <c r="P66" s="1" t="s">
        <v>12</v>
      </c>
      <c r="R66" s="1">
        <v>0</v>
      </c>
      <c r="T66" s="1">
        <v>0</v>
      </c>
      <c r="V66" s="1">
        <f>T66*R66</f>
        <v>0</v>
      </c>
      <c r="X66" s="1" t="s">
        <v>23</v>
      </c>
      <c r="Z66" s="1" t="s">
        <v>31</v>
      </c>
    </row>
    <row r="67" spans="5:26" x14ac:dyDescent="0.35">
      <c r="P67" s="1"/>
    </row>
    <row r="68" spans="5:26" x14ac:dyDescent="0.35">
      <c r="E68" s="16" t="b">
        <v>0</v>
      </c>
      <c r="G68" s="9"/>
      <c r="H68" s="1" t="s">
        <v>28</v>
      </c>
      <c r="J68" s="1" t="s">
        <v>42</v>
      </c>
      <c r="L68" s="1" t="s">
        <v>22</v>
      </c>
      <c r="N68" s="1" t="s">
        <v>12</v>
      </c>
      <c r="P68" s="7" t="s">
        <v>12</v>
      </c>
      <c r="R68" s="1">
        <v>0</v>
      </c>
      <c r="T68" s="1">
        <v>0</v>
      </c>
      <c r="V68" s="1">
        <f>T68*R68</f>
        <v>0</v>
      </c>
      <c r="X68" s="1" t="s">
        <v>23</v>
      </c>
      <c r="Z68" s="1" t="s">
        <v>31</v>
      </c>
    </row>
    <row r="69" spans="5:26" x14ac:dyDescent="0.35">
      <c r="P69" s="6"/>
    </row>
    <row r="74" spans="5:26" ht="28" x14ac:dyDescent="0.35">
      <c r="U74" s="1" t="s">
        <v>78</v>
      </c>
      <c r="V74" s="1">
        <f>SUM(V6:V68)</f>
        <v>715.31000000000006</v>
      </c>
    </row>
    <row r="76" spans="5:26" ht="28" x14ac:dyDescent="0.35">
      <c r="U76" s="1" t="s">
        <v>79</v>
      </c>
      <c r="V76" s="1">
        <v>1000</v>
      </c>
    </row>
    <row r="78" spans="5:26" x14ac:dyDescent="0.35">
      <c r="U78" s="1" t="s">
        <v>80</v>
      </c>
      <c r="V78" s="1">
        <f>V76-V74</f>
        <v>284.68999999999994</v>
      </c>
    </row>
    <row r="82" spans="10:10" x14ac:dyDescent="0.3">
      <c r="J82" s="21"/>
    </row>
  </sheetData>
  <hyperlinks>
    <hyperlink ref="P6" r:id="rId1" xr:uid="{A94BA6FC-3350-44A2-AC6C-80862BE710E3}"/>
    <hyperlink ref="P8" r:id="rId2" xr:uid="{58E89153-E7B0-45B4-ACCE-0EBE25372400}"/>
    <hyperlink ref="P10" r:id="rId3" location="gad_source_1" xr:uid="{E781C468-CF65-4F55-B752-B3C311ECCE4A}"/>
    <hyperlink ref="P54" r:id="rId4" xr:uid="{74C4968C-8398-4DE1-81DF-CA9E0EAE5C38}"/>
    <hyperlink ref="P22" r:id="rId5" xr:uid="{22919A08-C195-487C-A7D4-A026525D2A6F}"/>
    <hyperlink ref="P50" r:id="rId6" xr:uid="{40B506D3-E377-4505-83C1-34F485BA372E}"/>
    <hyperlink ref="P46" r:id="rId7" xr:uid="{6DABECE3-AA37-4D6E-9F51-AE2CCC8B2EDB}"/>
    <hyperlink ref="P48" r:id="rId8" xr:uid="{A228BA65-D763-42D4-A027-84D43984A1A6}"/>
    <hyperlink ref="P52" r:id="rId9" xr:uid="{1D9D9A47-FFE8-46F6-B31D-4FC86F9D958F}"/>
    <hyperlink ref="P28" r:id="rId10" xr:uid="{BC3E1E06-7543-49FD-80B9-9A0FBD370B6C}"/>
    <hyperlink ref="P26" r:id="rId11" xr:uid="{3E1314D3-204D-4DD2-9DC0-CC86C1000A62}"/>
    <hyperlink ref="P40" r:id="rId12" xr:uid="{EF8144D4-1671-452A-A964-C44CEBA30C85}"/>
    <hyperlink ref="P36" r:id="rId13" display="https://www.amazon.com/Flexible-Coupling-Diameter-Aluminium-Connector/dp/B0DLGSB45C/ref=sr_1_1?crid=VAEPQ7NAYKUF&amp;dib=eyJ2IjoiMSJ9.FerffVQk7pp9Cr6tBVoXmVHeKwAa6hwMa6Ti7EVXykURr2Wg_pZl4OKhLvYOt3KYiReEyXaWHT3DVvZ9ldSp-TmjlTBKfAojmP82SqBGsQO7cAzalE62vwM5VnfC4TO1Edmz2LTfD0rQ9-Ur-Wml8MIjJYamrqms8S1PGNdOsaI0X6uwrbbjcq0qSHmqD5YIyXhlKpntBJXAzG6vmhI2PGHaznBmPsTF2XzdsATBGttswioW79BB649YX8IfS1IGPU8xoEdJfBsHK0OEUHmrdjfTFWzTJemIkHwIN-Xzhqg.htDX2odIYKJcSsUVEyN4uuhprIBaouVYT87AbnF0rE4&amp;dib_tag=se&amp;keywords=5mm%2Bto%2B12.7%2Bmm%2Bshaft%2Bcoupler&amp;qid=1760132283&amp;s=industrial&amp;sprefix=%2Cindustrial%2C93&amp;sr=1-1&amp;th=1" xr:uid="{D235C728-5A74-48B6-93DC-446916867CC8}"/>
    <hyperlink ref="P30" r:id="rId14" display="https://www.amazon.com/Flexible-Coupling-Diameter-Aluminium-Connector/dp/B0DLGQPJY4/ref=sr_1_1?crid=P812H5FOGS0Q&amp;dib=eyJ2IjoiMSJ9.f8ZyhAmq3WVIsEtCeaGXrSE8pRcajtozuIxd5Hiah0ccag0b6cl26uZ-3Ao_YR4VesqgQxhwiyOQQWiKuInrJm3520XT6S6KPj3AR8anhAM1_A-v4_-X8XY-NjCGi3LqES08HXh5pblAcO7hVpA0DyRdmqD0fAuD6WkYu4yqy1F9MEvpOTxy65Em3DFpty6wQsgW_WXD6AtKczZykZ6hSg_9BnnC3WNSpTkVN2neBLrgn-xIe2bXmzPPSFaZWPKZyWbMjgOyhpbChA3H1lyzqlLYLohBuaWsFAKYNIFVmKs.XMoklJa7onHVMNw5FdlqgvgMii1Q_lDMv-I8YmoqAZc&amp;dib_tag=se&amp;keywords=6.3246mm%2Bto%2B12.7mm%2Bshaft%2Bcoupler&amp;qid=1760143039&amp;s=industrial&amp;sprefix=6.3246mm%2Bto%2B12.7mm%2Bshaft%2Bcoupler%2Cindustrial%2C59&amp;sr=1-1&amp;th=1" xr:uid="{9D0003BB-8F17-4874-8624-A3E3EB148B36}"/>
    <hyperlink ref="P32" r:id="rId15" display="https://www.omc-stepperonline.com/nema-23-bracket-for-stepper-motor-and-geared-stepper-motor-alloy-steel-bracket-st-m2?search=Nema%2023%20Bracket%20for%20Stepper%20Motor" xr:uid="{752ECDDC-9ADA-4065-95DD-B7AF5D3480BA}"/>
    <hyperlink ref="P60" r:id="rId16" xr:uid="{82A8E482-BEEE-4FFE-9CF6-6CAA31579A1F}"/>
    <hyperlink ref="P58" r:id="rId17" display="https://www.mcmaster.com/2521A771/" xr:uid="{A72AE384-87E2-4BED-9515-B5644AA5E112}"/>
    <hyperlink ref="P56" r:id="rId18" display="https://www.amazon.com/RH-Adhesives-Clear-Tite-Contact-Cement/dp/B09FF3XWQL/ref=sr_1_1_sspa?adgrpid=1338106221347223&amp;dib=eyJ2IjoiMSJ9.cVtUGdTERUjjQC6db_XY26Gv5wwk3QrgFsvvAHxolc8gWb5QNDB9yWfcxmAuWST_y2KMNhdK2JyDVNxCnAq2XWyQmWK8uzk08Moi9L22shGrO2a3Z6z4H1nSXgn_oGXq9wJn0GfHLcRkvPCxCJHocULY_eSj9hm8RwN_VhzB6FZHByCr3mu1jpBvm-N4PWS5PGY4rM8_r9RuYc37CsuuaxF_iJoKIk-PsxtvsjJDi9E.Z1BFleDUiLYc5VsGU8a2c8waJD5YwCSENAQNPueUtwo&amp;dib_tag=se&amp;hvadid=83631853407198&amp;hvbmt=be&amp;hvdev=c&amp;hvlocphy=94464&amp;hvnetw=o&amp;hvqmt=e&amp;hvtargid=kwd-83631995382857%3Aloc-190&amp;hydadcr=24661_13514164&amp;keywords=contact%2Bcement&amp;mcid=d1f92da8eb6e30cfb3c73f7c75e8104a&amp;qid=1760146887&amp;sr=8-1-spons&amp;sp_csd=d2lkZ2V0TmFtZT1zcF9hdGY&amp;th=1" xr:uid="{776BBA61-10A3-4506-974C-E798C8E515F3}"/>
    <hyperlink ref="P24" r:id="rId19" xr:uid="{42081260-1C4B-4FDE-8715-460A3C703B1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c0801e9-2605-4d05-b24f-a259f943f91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985BA921E19F479CD09AB1EE36D168" ma:contentTypeVersion="18" ma:contentTypeDescription="Create a new document." ma:contentTypeScope="" ma:versionID="0f497d3568979f943767bb395498bbae">
  <xsd:schema xmlns:xsd="http://www.w3.org/2001/XMLSchema" xmlns:xs="http://www.w3.org/2001/XMLSchema" xmlns:p="http://schemas.microsoft.com/office/2006/metadata/properties" xmlns:ns3="6c0801e9-2605-4d05-b24f-a259f943f91c" xmlns:ns4="de9f92fc-55fa-4a03-bf72-1946db2e5390" targetNamespace="http://schemas.microsoft.com/office/2006/metadata/properties" ma:root="true" ma:fieldsID="49a4bab2d3711b48bd8914b6af107445" ns3:_="" ns4:_="">
    <xsd:import namespace="6c0801e9-2605-4d05-b24f-a259f943f91c"/>
    <xsd:import namespace="de9f92fc-55fa-4a03-bf72-1946db2e539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OCR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0801e9-2605-4d05-b24f-a259f943f9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description="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9f92fc-55fa-4a03-bf72-1946db2e53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B59156-85CE-4FCF-82B0-180DB25320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99ED97-A527-451F-AAE5-FE9D6F9C51AB}">
  <ds:schemaRefs>
    <ds:schemaRef ds:uri="6c0801e9-2605-4d05-b24f-a259f943f91c"/>
    <ds:schemaRef ds:uri="http://www.w3.org/XML/1998/namespace"/>
    <ds:schemaRef ds:uri="http://purl.org/dc/terms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e9f92fc-55fa-4a03-bf72-1946db2e5390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F68D2903-EB54-42A4-894B-1383CE4F2720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6c0801e9-2605-4d05-b24f-a259f943f91c"/>
    <ds:schemaRef ds:uri="de9f92fc-55fa-4a03-bf72-1946db2e5390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Zenub Maghawry Abouzid</dc:creator>
  <cp:keywords/>
  <dc:description/>
  <cp:lastModifiedBy>Zenub Maghawry Abouzid</cp:lastModifiedBy>
  <cp:revision/>
  <dcterms:created xsi:type="dcterms:W3CDTF">2025-09-27T02:39:25Z</dcterms:created>
  <dcterms:modified xsi:type="dcterms:W3CDTF">2025-10-11T03:14:44Z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0x0101005B985BA921E19F479CD09AB1EE36D168</vt:lpwstr>
  </property>
</Properties>
</file>